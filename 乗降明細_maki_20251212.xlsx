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55" windowWidth="27735" windowHeight="11925"/>
  </bookViews>
  <sheets>
    <sheet name="まき(2025-12-12)" sheetId="1" r:id="rId1"/>
  </sheets>
  <calcPr calcId="124519"/>
</workbook>
</file>

<file path=xl/calcChain.xml><?xml version="1.0" encoding="utf-8"?>
<calcChain xmlns="http://schemas.openxmlformats.org/spreadsheetml/2006/main">
  <c r="AB26" i="1"/>
  <c r="AA26"/>
  <c r="Z26"/>
  <c r="Y26"/>
  <c r="X26"/>
  <c r="W26"/>
  <c r="V26"/>
  <c r="U26"/>
  <c r="S26"/>
  <c r="R26"/>
  <c r="Q26"/>
  <c r="P26"/>
  <c r="O26"/>
  <c r="A26"/>
</calcChain>
</file>

<file path=xl/sharedStrings.xml><?xml version="1.0" encoding="utf-8"?>
<sst xmlns="http://schemas.openxmlformats.org/spreadsheetml/2006/main" count="147" uniqueCount="83">
  <si>
    <t>営業日付</t>
  </si>
  <si>
    <t>曜</t>
  </si>
  <si>
    <t>日種</t>
  </si>
  <si>
    <t>区分</t>
  </si>
  <si>
    <t>乗車(時)</t>
  </si>
  <si>
    <t>乗車(分)</t>
  </si>
  <si>
    <t>乗車地(地名)</t>
  </si>
  <si>
    <t>乗車地(緯度)</t>
  </si>
  <si>
    <t>乗車地(経度)</t>
  </si>
  <si>
    <t>降車(時)</t>
  </si>
  <si>
    <t>降車(分)</t>
  </si>
  <si>
    <t>降車地(地名)</t>
  </si>
  <si>
    <t>降車地(緯度)</t>
  </si>
  <si>
    <t>降車地(経度)</t>
  </si>
  <si>
    <t>(男)</t>
  </si>
  <si>
    <t>(女)</t>
  </si>
  <si>
    <t>(子)</t>
  </si>
  <si>
    <t>人数</t>
  </si>
  <si>
    <t>売上金額</t>
  </si>
  <si>
    <t>消費税率</t>
  </si>
  <si>
    <t>未収金額</t>
  </si>
  <si>
    <t>別収金額</t>
  </si>
  <si>
    <t>迎車料金</t>
  </si>
  <si>
    <t>往路通行料</t>
  </si>
  <si>
    <t>復路通行料</t>
  </si>
  <si>
    <t>障割金額</t>
  </si>
  <si>
    <t>遠割金額</t>
  </si>
  <si>
    <t>空車</t>
  </si>
  <si>
    <t>領収書</t>
  </si>
  <si>
    <t>備考</t>
  </si>
  <si>
    <t>目印</t>
  </si>
  <si>
    <t>金</t>
  </si>
  <si>
    <t>平日</t>
  </si>
  <si>
    <t>ア</t>
  </si>
  <si>
    <t>田島5</t>
  </si>
  <si>
    <t>平野東4</t>
  </si>
  <si>
    <t>加美鞍作1</t>
  </si>
  <si>
    <t>今林2</t>
  </si>
  <si>
    <t>味原町</t>
  </si>
  <si>
    <t>千日前2</t>
  </si>
  <si>
    <t>クレジット</t>
  </si>
  <si>
    <t>城見1</t>
  </si>
  <si>
    <t>都島本通3</t>
  </si>
  <si>
    <t>Suica交通系</t>
  </si>
  <si>
    <t>国分寺2</t>
  </si>
  <si>
    <t>曾根崎新地1</t>
  </si>
  <si>
    <t>ネット決済</t>
  </si>
  <si>
    <t>土佐堀1</t>
  </si>
  <si>
    <t>梅田1</t>
  </si>
  <si>
    <t>待</t>
  </si>
  <si>
    <t>梅田3</t>
  </si>
  <si>
    <t>西天満6</t>
  </si>
  <si>
    <t>待機時間：15分 ネット決済</t>
  </si>
  <si>
    <t>中之島3</t>
  </si>
  <si>
    <t>待機時間：15分</t>
  </si>
  <si>
    <t>大淀南2</t>
  </si>
  <si>
    <t>待機時間：14分 ネット決済</t>
  </si>
  <si>
    <t>西宮市段上町1</t>
  </si>
  <si>
    <t>待機時間：28分 タクシーチケット</t>
  </si>
  <si>
    <t>尼崎市上ノ島町3</t>
  </si>
  <si>
    <t>堺)宿院町東4</t>
  </si>
  <si>
    <t>曾根崎新地2</t>
  </si>
  <si>
    <t>大開1</t>
  </si>
  <si>
    <t>下寺町2</t>
  </si>
  <si>
    <t>瓦町2</t>
  </si>
  <si>
    <t>善源寺町2</t>
  </si>
  <si>
    <t>西宮市高畑町</t>
  </si>
  <si>
    <t>(経由)野田3</t>
  </si>
  <si>
    <t>吹)藤白台4</t>
  </si>
  <si>
    <t>堂山町</t>
  </si>
  <si>
    <t>島之内2</t>
  </si>
  <si>
    <t>千日前1</t>
  </si>
  <si>
    <t>戎本町2</t>
  </si>
  <si>
    <t>心斎橋筋2</t>
  </si>
  <si>
    <t>桜川2</t>
  </si>
  <si>
    <t>幸町1</t>
  </si>
  <si>
    <t>敷津東2</t>
  </si>
  <si>
    <t>難波2</t>
  </si>
  <si>
    <t>恵美須東1</t>
  </si>
  <si>
    <t>道頓堀1</t>
  </si>
  <si>
    <t>戎本町1</t>
  </si>
  <si>
    <t>高津1</t>
  </si>
  <si>
    <t>巽北4</t>
  </si>
</sst>
</file>

<file path=xl/styles.xml><?xml version="1.0" encoding="utf-8"?>
<styleSheet xmlns="http://schemas.openxmlformats.org/spreadsheetml/2006/main">
  <numFmts count="4">
    <numFmt numFmtId="176" formatCode="yyyy\-mm\-dd"/>
    <numFmt numFmtId="177" formatCode="00"/>
    <numFmt numFmtId="178" formatCode="0.00000000"/>
    <numFmt numFmtId="179" formatCode="#,##0_ "/>
  </numFmts>
  <fonts count="2">
    <font>
      <sz val="11"/>
      <color rgb="FF000000"/>
      <name val="MS UI Gothic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8F6CE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vertical="center"/>
    </xf>
    <xf numFmtId="178" fontId="0" fillId="2" borderId="0" xfId="0" applyNumberFormat="1" applyFill="1" applyAlignment="1">
      <alignment horizontal="center" vertical="center"/>
    </xf>
    <xf numFmtId="179" fontId="0" fillId="0" borderId="0" xfId="0" applyNumberFormat="1" applyAlignment="1">
      <alignment vertical="center"/>
    </xf>
    <xf numFmtId="179" fontId="0" fillId="2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177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78" fontId="0" fillId="3" borderId="0" xfId="0" applyNumberFormat="1" applyFill="1" applyAlignment="1">
      <alignment vertical="center"/>
    </xf>
  </cellXfs>
  <cellStyles count="1"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6"/>
  <sheetViews>
    <sheetView tabSelected="1" topLeftCell="M1" workbookViewId="0">
      <pane ySplit="1" topLeftCell="A2" activePane="bottomLeft" state="frozen"/>
      <selection pane="bottomLeft" activeCell="V31" sqref="V31"/>
    </sheetView>
  </sheetViews>
  <sheetFormatPr defaultRowHeight="13.5"/>
  <cols>
    <col min="1" max="1" width="12" style="1" customWidth="1"/>
    <col min="2" max="2" width="4" style="3" customWidth="1"/>
    <col min="3" max="3" width="6" style="3" customWidth="1"/>
    <col min="4" max="4" width="4" style="3" customWidth="1"/>
    <col min="5" max="6" width="4" style="5" customWidth="1"/>
    <col min="7" max="7" width="24" customWidth="1"/>
    <col min="8" max="9" width="14" style="7" customWidth="1"/>
    <col min="10" max="11" width="4" style="5" customWidth="1"/>
    <col min="12" max="12" width="24" customWidth="1"/>
    <col min="13" max="14" width="14" style="7" customWidth="1"/>
    <col min="15" max="17" width="6" style="9" customWidth="1"/>
    <col min="18" max="18" width="8" style="9" customWidth="1"/>
    <col min="19" max="19" width="10" style="9" customWidth="1"/>
    <col min="20" max="20" width="4" customWidth="1"/>
    <col min="21" max="27" width="10" style="9" customWidth="1"/>
    <col min="28" max="28" width="6" style="9" customWidth="1"/>
    <col min="29" max="29" width="6" customWidth="1"/>
    <col min="30" max="30" width="60" customWidth="1"/>
    <col min="31" max="31" width="4" customWidth="1"/>
  </cols>
  <sheetData>
    <row r="1" spans="1:31">
      <c r="A1" s="2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4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4" t="s">
        <v>11</v>
      </c>
      <c r="M1" s="8" t="s">
        <v>12</v>
      </c>
      <c r="N1" s="8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4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4" t="s">
        <v>28</v>
      </c>
      <c r="AD1" s="4" t="s">
        <v>29</v>
      </c>
      <c r="AE1" s="4" t="s">
        <v>30</v>
      </c>
    </row>
    <row r="2" spans="1:31">
      <c r="A2" s="1">
        <v>46003</v>
      </c>
      <c r="B2" s="3" t="s">
        <v>31</v>
      </c>
      <c r="C2" s="3" t="s">
        <v>32</v>
      </c>
      <c r="D2" s="3" t="s">
        <v>33</v>
      </c>
      <c r="E2" s="5">
        <v>18</v>
      </c>
      <c r="F2" s="5">
        <v>5</v>
      </c>
      <c r="G2" t="s">
        <v>34</v>
      </c>
      <c r="H2" s="7">
        <v>34.642768220793002</v>
      </c>
      <c r="I2" s="7">
        <v>135.54403170787</v>
      </c>
      <c r="L2" t="s">
        <v>35</v>
      </c>
      <c r="M2" s="7">
        <v>34.620666430862997</v>
      </c>
      <c r="N2" s="7">
        <v>135.56181732914999</v>
      </c>
      <c r="O2" s="9">
        <v>0</v>
      </c>
      <c r="P2" s="9">
        <v>1</v>
      </c>
      <c r="Q2" s="9">
        <v>0</v>
      </c>
      <c r="R2" s="9">
        <v>1</v>
      </c>
      <c r="S2" s="9">
        <v>2600</v>
      </c>
      <c r="T2">
        <v>10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>
        <v>0</v>
      </c>
      <c r="AE2">
        <v>0</v>
      </c>
    </row>
    <row r="3" spans="1:31">
      <c r="A3" s="1">
        <v>46003</v>
      </c>
      <c r="B3" s="3" t="s">
        <v>31</v>
      </c>
      <c r="C3" s="3" t="s">
        <v>32</v>
      </c>
      <c r="D3" s="3" t="s">
        <v>33</v>
      </c>
      <c r="E3" s="5">
        <v>18</v>
      </c>
      <c r="F3" s="5">
        <v>29</v>
      </c>
      <c r="G3" t="s">
        <v>36</v>
      </c>
      <c r="H3" s="7">
        <v>34.624784903422999</v>
      </c>
      <c r="I3" s="7">
        <v>135.56898509813999</v>
      </c>
      <c r="L3" t="s">
        <v>37</v>
      </c>
      <c r="M3" s="7">
        <v>34.639319901313002</v>
      </c>
      <c r="N3" s="7">
        <v>135.53847874488</v>
      </c>
      <c r="O3" s="9">
        <v>0</v>
      </c>
      <c r="P3" s="9">
        <v>2</v>
      </c>
      <c r="Q3" s="9">
        <v>0</v>
      </c>
      <c r="R3" s="9">
        <v>2</v>
      </c>
      <c r="S3" s="9">
        <v>3500</v>
      </c>
      <c r="T3">
        <v>10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>
        <v>0</v>
      </c>
      <c r="AE3">
        <v>0</v>
      </c>
    </row>
    <row r="4" spans="1:31">
      <c r="A4" s="1">
        <v>46003</v>
      </c>
      <c r="B4" s="3" t="s">
        <v>31</v>
      </c>
      <c r="C4" s="3" t="s">
        <v>32</v>
      </c>
      <c r="E4" s="5">
        <v>19</v>
      </c>
      <c r="F4" s="5">
        <v>4</v>
      </c>
      <c r="G4" t="s">
        <v>38</v>
      </c>
      <c r="H4" s="7">
        <v>34.665876406034002</v>
      </c>
      <c r="I4" s="7">
        <v>135.5276673841</v>
      </c>
      <c r="L4" t="s">
        <v>39</v>
      </c>
      <c r="M4" s="7">
        <v>34.666942663162999</v>
      </c>
      <c r="N4" s="7">
        <v>135.50303740248</v>
      </c>
      <c r="O4" s="9">
        <v>1</v>
      </c>
      <c r="P4" s="9">
        <v>0</v>
      </c>
      <c r="Q4" s="9">
        <v>0</v>
      </c>
      <c r="R4" s="9">
        <v>1</v>
      </c>
      <c r="S4" s="9">
        <v>1200</v>
      </c>
      <c r="T4">
        <v>10</v>
      </c>
      <c r="U4" s="9">
        <v>1200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>
        <v>0</v>
      </c>
      <c r="AD4" t="s">
        <v>40</v>
      </c>
      <c r="AE4">
        <v>0</v>
      </c>
    </row>
    <row r="5" spans="1:31">
      <c r="A5" s="1">
        <v>46003</v>
      </c>
      <c r="B5" s="3" t="s">
        <v>31</v>
      </c>
      <c r="C5" s="3" t="s">
        <v>32</v>
      </c>
      <c r="E5" s="5">
        <v>19</v>
      </c>
      <c r="F5" s="5">
        <v>41</v>
      </c>
      <c r="G5" t="s">
        <v>41</v>
      </c>
      <c r="H5" s="7">
        <v>34.690483578520002</v>
      </c>
      <c r="I5" s="7">
        <v>135.53385174208</v>
      </c>
      <c r="L5" t="s">
        <v>42</v>
      </c>
      <c r="M5" s="7">
        <v>34.708677741907998</v>
      </c>
      <c r="N5" s="7">
        <v>135.52570867048999</v>
      </c>
      <c r="O5" s="9">
        <v>0</v>
      </c>
      <c r="P5" s="9">
        <v>2</v>
      </c>
      <c r="Q5" s="9">
        <v>0</v>
      </c>
      <c r="R5" s="9">
        <v>2</v>
      </c>
      <c r="S5" s="9">
        <v>1600</v>
      </c>
      <c r="T5">
        <v>10</v>
      </c>
      <c r="U5" s="9">
        <v>1600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25</v>
      </c>
      <c r="AC5">
        <v>0</v>
      </c>
      <c r="AD5" t="s">
        <v>43</v>
      </c>
      <c r="AE5">
        <v>0</v>
      </c>
    </row>
    <row r="6" spans="1:31">
      <c r="A6" s="1">
        <v>46003</v>
      </c>
      <c r="B6" s="3" t="s">
        <v>31</v>
      </c>
      <c r="C6" s="3" t="s">
        <v>32</v>
      </c>
      <c r="E6" s="5">
        <v>19</v>
      </c>
      <c r="F6" s="5">
        <v>52</v>
      </c>
      <c r="G6" t="s">
        <v>44</v>
      </c>
      <c r="H6" s="7">
        <v>34.710298565849001</v>
      </c>
      <c r="I6" s="7">
        <v>135.51276651651</v>
      </c>
      <c r="L6" t="s">
        <v>45</v>
      </c>
      <c r="M6" s="7">
        <v>34.698306345974999</v>
      </c>
      <c r="N6" s="7">
        <v>135.49588201790999</v>
      </c>
      <c r="O6" s="9">
        <v>2</v>
      </c>
      <c r="P6" s="9">
        <v>1</v>
      </c>
      <c r="Q6" s="9">
        <v>0</v>
      </c>
      <c r="R6" s="9">
        <v>3</v>
      </c>
      <c r="S6" s="9">
        <v>1600</v>
      </c>
      <c r="T6">
        <v>10</v>
      </c>
      <c r="U6" s="9">
        <v>1600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>
        <v>0</v>
      </c>
      <c r="AD6" t="s">
        <v>46</v>
      </c>
      <c r="AE6">
        <v>0</v>
      </c>
    </row>
    <row r="7" spans="1:31">
      <c r="A7" s="1">
        <v>46003</v>
      </c>
      <c r="B7" s="3" t="s">
        <v>31</v>
      </c>
      <c r="C7" s="3" t="s">
        <v>32</v>
      </c>
      <c r="E7" s="5">
        <v>20</v>
      </c>
      <c r="F7" s="5">
        <v>24</v>
      </c>
      <c r="G7" t="s">
        <v>47</v>
      </c>
      <c r="H7" s="7">
        <v>34.691981930982003</v>
      </c>
      <c r="I7" s="7">
        <v>135.49554704083999</v>
      </c>
      <c r="L7" t="s">
        <v>48</v>
      </c>
      <c r="M7" s="7">
        <v>34.699311214498003</v>
      </c>
      <c r="N7" s="7">
        <v>135.49842740015001</v>
      </c>
      <c r="O7" s="9">
        <v>3</v>
      </c>
      <c r="P7" s="9">
        <v>0</v>
      </c>
      <c r="Q7" s="9">
        <v>0</v>
      </c>
      <c r="R7" s="9">
        <v>3</v>
      </c>
      <c r="S7" s="9">
        <v>900</v>
      </c>
      <c r="T7">
        <v>10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16</v>
      </c>
      <c r="AC7">
        <v>0</v>
      </c>
      <c r="AE7">
        <v>0</v>
      </c>
    </row>
    <row r="8" spans="1:31">
      <c r="A8" s="1">
        <v>46003</v>
      </c>
      <c r="B8" s="3" t="s">
        <v>31</v>
      </c>
      <c r="C8" s="3" t="s">
        <v>32</v>
      </c>
      <c r="D8" s="3" t="s">
        <v>49</v>
      </c>
      <c r="E8" s="5">
        <v>21</v>
      </c>
      <c r="F8" s="5">
        <v>8</v>
      </c>
      <c r="G8" t="s">
        <v>50</v>
      </c>
      <c r="H8" s="7">
        <v>34.701131899312003</v>
      </c>
      <c r="I8" s="7">
        <v>135.49548079683001</v>
      </c>
      <c r="L8" t="s">
        <v>51</v>
      </c>
      <c r="M8" s="7">
        <v>34.698676400754998</v>
      </c>
      <c r="N8" s="7">
        <v>135.50539040109999</v>
      </c>
      <c r="O8" s="9">
        <v>2</v>
      </c>
      <c r="P8" s="9">
        <v>0</v>
      </c>
      <c r="Q8" s="9">
        <v>0</v>
      </c>
      <c r="R8" s="9">
        <v>2</v>
      </c>
      <c r="S8" s="9">
        <v>1600</v>
      </c>
      <c r="T8">
        <v>10</v>
      </c>
      <c r="U8" s="9">
        <v>1600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35</v>
      </c>
      <c r="AC8">
        <v>0</v>
      </c>
      <c r="AD8" t="s">
        <v>52</v>
      </c>
      <c r="AE8">
        <v>0</v>
      </c>
    </row>
    <row r="9" spans="1:31">
      <c r="A9" s="1">
        <v>46003</v>
      </c>
      <c r="B9" s="3" t="s">
        <v>31</v>
      </c>
      <c r="C9" s="3" t="s">
        <v>32</v>
      </c>
      <c r="D9" s="3" t="s">
        <v>49</v>
      </c>
      <c r="E9" s="5">
        <v>21</v>
      </c>
      <c r="F9" s="5">
        <v>48</v>
      </c>
      <c r="G9" t="s">
        <v>50</v>
      </c>
      <c r="H9" s="7">
        <v>34.700998853542998</v>
      </c>
      <c r="I9" s="7">
        <v>135.49527543940999</v>
      </c>
      <c r="L9" t="s">
        <v>53</v>
      </c>
      <c r="M9" s="7">
        <v>34.692296781312002</v>
      </c>
      <c r="N9" s="7">
        <v>135.49261946095001</v>
      </c>
      <c r="O9" s="9">
        <v>0</v>
      </c>
      <c r="P9" s="9">
        <v>1</v>
      </c>
      <c r="Q9" s="9">
        <v>0</v>
      </c>
      <c r="R9" s="9">
        <v>1</v>
      </c>
      <c r="S9" s="9">
        <v>1000</v>
      </c>
      <c r="T9">
        <v>10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24</v>
      </c>
      <c r="AC9">
        <v>0</v>
      </c>
      <c r="AD9" t="s">
        <v>54</v>
      </c>
      <c r="AE9">
        <v>0</v>
      </c>
    </row>
    <row r="10" spans="1:31">
      <c r="A10" s="1">
        <v>46003</v>
      </c>
      <c r="B10" s="3" t="s">
        <v>31</v>
      </c>
      <c r="C10" s="3" t="s">
        <v>32</v>
      </c>
      <c r="D10" s="3" t="s">
        <v>49</v>
      </c>
      <c r="E10" s="5">
        <v>22</v>
      </c>
      <c r="F10" s="5">
        <v>37</v>
      </c>
      <c r="G10" t="s">
        <v>48</v>
      </c>
      <c r="H10" s="7">
        <v>34.698166582063003</v>
      </c>
      <c r="I10" s="7">
        <v>135.49861339047001</v>
      </c>
      <c r="L10" t="s">
        <v>55</v>
      </c>
      <c r="M10" s="7">
        <v>34.701655710121003</v>
      </c>
      <c r="N10" s="7">
        <v>135.48611659475</v>
      </c>
      <c r="O10" s="9">
        <v>1</v>
      </c>
      <c r="P10" s="9">
        <v>0</v>
      </c>
      <c r="Q10" s="9">
        <v>0</v>
      </c>
      <c r="R10" s="9">
        <v>1</v>
      </c>
      <c r="S10" s="9">
        <v>1700</v>
      </c>
      <c r="T10">
        <v>10</v>
      </c>
      <c r="U10" s="9">
        <v>1700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39</v>
      </c>
      <c r="AC10">
        <v>0</v>
      </c>
      <c r="AD10" t="s">
        <v>56</v>
      </c>
      <c r="AE10">
        <v>0</v>
      </c>
    </row>
    <row r="11" spans="1:31">
      <c r="A11" s="1">
        <v>46003</v>
      </c>
      <c r="B11" s="3" t="s">
        <v>31</v>
      </c>
      <c r="C11" s="3" t="s">
        <v>32</v>
      </c>
      <c r="D11" s="3" t="s">
        <v>49</v>
      </c>
      <c r="E11" s="5">
        <v>23</v>
      </c>
      <c r="F11" s="5">
        <v>30</v>
      </c>
      <c r="G11" t="s">
        <v>48</v>
      </c>
      <c r="H11" s="7">
        <v>34.698170722313002</v>
      </c>
      <c r="I11" s="7">
        <v>135.50041290530999</v>
      </c>
      <c r="L11" t="s">
        <v>57</v>
      </c>
      <c r="M11" s="7">
        <v>34.768531081187</v>
      </c>
      <c r="N11" s="7">
        <v>135.36302445443999</v>
      </c>
      <c r="O11" s="9">
        <v>1</v>
      </c>
      <c r="P11" s="9">
        <v>0</v>
      </c>
      <c r="Q11" s="9">
        <v>0</v>
      </c>
      <c r="R11" s="9">
        <v>1</v>
      </c>
      <c r="S11" s="9">
        <v>10440</v>
      </c>
      <c r="T11">
        <v>10</v>
      </c>
      <c r="U11" s="9">
        <v>9999</v>
      </c>
      <c r="V11" s="9">
        <v>0</v>
      </c>
      <c r="W11" s="9">
        <v>0</v>
      </c>
      <c r="X11" s="9">
        <v>560</v>
      </c>
      <c r="Y11" s="9">
        <v>0</v>
      </c>
      <c r="Z11" s="9">
        <v>0</v>
      </c>
      <c r="AA11" s="9">
        <v>160</v>
      </c>
      <c r="AB11" s="9">
        <v>36</v>
      </c>
      <c r="AC11">
        <v>0</v>
      </c>
      <c r="AD11" t="s">
        <v>58</v>
      </c>
      <c r="AE11">
        <v>0</v>
      </c>
    </row>
    <row r="12" spans="1:31">
      <c r="A12" s="1">
        <v>46003</v>
      </c>
      <c r="B12" s="3" t="s">
        <v>31</v>
      </c>
      <c r="C12" s="3" t="s">
        <v>32</v>
      </c>
      <c r="E12" s="5">
        <v>24</v>
      </c>
      <c r="F12" s="5">
        <v>35</v>
      </c>
      <c r="G12" t="s">
        <v>48</v>
      </c>
      <c r="H12" s="7">
        <v>34.698130399961997</v>
      </c>
      <c r="I12" s="7">
        <v>135.49914129985001</v>
      </c>
      <c r="L12" t="s">
        <v>59</v>
      </c>
      <c r="M12" s="7">
        <v>34.747102852504</v>
      </c>
      <c r="N12" s="7">
        <v>135.40366202515</v>
      </c>
      <c r="O12" s="9">
        <v>1</v>
      </c>
      <c r="P12" s="9">
        <v>0</v>
      </c>
      <c r="Q12" s="9">
        <v>0</v>
      </c>
      <c r="R12" s="9">
        <v>1</v>
      </c>
      <c r="S12" s="9">
        <v>7100</v>
      </c>
      <c r="T12">
        <v>10</v>
      </c>
      <c r="U12" s="9">
        <v>0</v>
      </c>
      <c r="V12" s="9">
        <v>0</v>
      </c>
      <c r="W12" s="9">
        <v>0</v>
      </c>
      <c r="X12" s="9">
        <v>240</v>
      </c>
      <c r="Y12" s="9">
        <v>0</v>
      </c>
      <c r="Z12" s="9">
        <v>0</v>
      </c>
      <c r="AA12" s="9">
        <v>0</v>
      </c>
      <c r="AB12" s="9">
        <v>0</v>
      </c>
      <c r="AC12">
        <v>0</v>
      </c>
      <c r="AE12">
        <v>0</v>
      </c>
    </row>
    <row r="13" spans="1:31">
      <c r="A13" s="1">
        <v>46003</v>
      </c>
      <c r="B13" s="3" t="s">
        <v>31</v>
      </c>
      <c r="C13" s="3" t="s">
        <v>32</v>
      </c>
      <c r="E13" s="5">
        <v>25</v>
      </c>
      <c r="F13" s="5">
        <v>28</v>
      </c>
      <c r="G13" t="s">
        <v>48</v>
      </c>
      <c r="H13" s="7">
        <v>34.698214363902999</v>
      </c>
      <c r="I13" s="7">
        <v>135.49761987599001</v>
      </c>
      <c r="L13" t="s">
        <v>60</v>
      </c>
      <c r="M13" s="7">
        <v>34.574171574162001</v>
      </c>
      <c r="N13" s="7">
        <v>135.47426837262</v>
      </c>
      <c r="O13" s="9">
        <v>1</v>
      </c>
      <c r="P13" s="9">
        <v>0</v>
      </c>
      <c r="Q13" s="9">
        <v>0</v>
      </c>
      <c r="R13" s="9">
        <v>1</v>
      </c>
      <c r="S13" s="9">
        <v>9720</v>
      </c>
      <c r="T13">
        <v>10</v>
      </c>
      <c r="U13" s="9">
        <v>0</v>
      </c>
      <c r="V13" s="9">
        <v>0</v>
      </c>
      <c r="W13" s="9">
        <v>0</v>
      </c>
      <c r="X13" s="9">
        <v>650</v>
      </c>
      <c r="Y13" s="9">
        <v>0</v>
      </c>
      <c r="Z13" s="9">
        <v>0</v>
      </c>
      <c r="AA13" s="9">
        <v>80</v>
      </c>
      <c r="AB13" s="9">
        <v>0</v>
      </c>
      <c r="AC13">
        <v>0</v>
      </c>
      <c r="AE13">
        <v>0</v>
      </c>
    </row>
    <row r="14" spans="1:31">
      <c r="A14" s="1">
        <v>46003</v>
      </c>
      <c r="B14" s="3" t="s">
        <v>31</v>
      </c>
      <c r="C14" s="3" t="s">
        <v>32</v>
      </c>
      <c r="E14" s="5">
        <v>26</v>
      </c>
      <c r="F14" s="5">
        <v>8</v>
      </c>
      <c r="G14" t="s">
        <v>61</v>
      </c>
      <c r="H14" s="7">
        <v>34.6981180115</v>
      </c>
      <c r="I14" s="7">
        <v>135.49433056273</v>
      </c>
      <c r="L14" t="s">
        <v>62</v>
      </c>
      <c r="M14" s="7">
        <v>34.693811426117001</v>
      </c>
      <c r="N14" s="7">
        <v>135.47567859790999</v>
      </c>
      <c r="O14" s="9">
        <v>1</v>
      </c>
      <c r="P14" s="9">
        <v>0</v>
      </c>
      <c r="Q14" s="9">
        <v>0</v>
      </c>
      <c r="R14" s="9">
        <v>1</v>
      </c>
      <c r="S14" s="9">
        <v>1300</v>
      </c>
      <c r="T14">
        <v>10</v>
      </c>
      <c r="U14" s="9">
        <v>1300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>
        <v>0</v>
      </c>
      <c r="AD14" t="s">
        <v>40</v>
      </c>
      <c r="AE14">
        <v>0</v>
      </c>
    </row>
    <row r="15" spans="1:31">
      <c r="A15" s="1">
        <v>46003</v>
      </c>
      <c r="B15" s="3" t="s">
        <v>31</v>
      </c>
      <c r="C15" s="3" t="s">
        <v>32</v>
      </c>
      <c r="E15" s="5">
        <v>26</v>
      </c>
      <c r="F15" s="5">
        <v>25</v>
      </c>
      <c r="G15" t="s">
        <v>48</v>
      </c>
      <c r="H15" s="7">
        <v>34.698365702064997</v>
      </c>
      <c r="I15" s="7">
        <v>135.49907559547</v>
      </c>
      <c r="L15" t="s">
        <v>63</v>
      </c>
      <c r="M15" s="7">
        <v>34.657932062557002</v>
      </c>
      <c r="N15" s="7">
        <v>135.51063753836999</v>
      </c>
      <c r="O15" s="9">
        <v>1</v>
      </c>
      <c r="P15" s="9">
        <v>0</v>
      </c>
      <c r="Q15" s="9">
        <v>0</v>
      </c>
      <c r="R15" s="9">
        <v>1</v>
      </c>
      <c r="S15" s="9">
        <v>3000</v>
      </c>
      <c r="T15">
        <v>10</v>
      </c>
      <c r="U15" s="9">
        <v>3000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4</v>
      </c>
      <c r="AC15">
        <v>0</v>
      </c>
      <c r="AD15" t="s">
        <v>46</v>
      </c>
      <c r="AE15">
        <v>0</v>
      </c>
    </row>
    <row r="16" spans="1:31">
      <c r="A16" s="1">
        <v>46003</v>
      </c>
      <c r="B16" s="3" t="s">
        <v>31</v>
      </c>
      <c r="C16" s="3" t="s">
        <v>32</v>
      </c>
      <c r="E16" s="5">
        <v>26</v>
      </c>
      <c r="F16" s="5">
        <v>39</v>
      </c>
      <c r="G16" t="s">
        <v>64</v>
      </c>
      <c r="H16" s="7">
        <v>34.686136952166997</v>
      </c>
      <c r="I16" s="7">
        <v>135.5064749684</v>
      </c>
      <c r="L16" t="s">
        <v>65</v>
      </c>
      <c r="M16" s="7">
        <v>34.711217622954997</v>
      </c>
      <c r="N16" s="7">
        <v>135.52562846923999</v>
      </c>
      <c r="O16" s="9">
        <v>1</v>
      </c>
      <c r="P16" s="9">
        <v>1</v>
      </c>
      <c r="Q16" s="9">
        <v>0</v>
      </c>
      <c r="R16" s="9">
        <v>2</v>
      </c>
      <c r="S16" s="9">
        <v>2500</v>
      </c>
      <c r="T16">
        <v>10</v>
      </c>
      <c r="U16" s="9">
        <v>2500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>
        <v>0</v>
      </c>
      <c r="AD16" t="s">
        <v>40</v>
      </c>
      <c r="AE16">
        <v>0</v>
      </c>
    </row>
    <row r="17" spans="1:31">
      <c r="A17" s="1">
        <v>46003</v>
      </c>
      <c r="B17" s="3" t="s">
        <v>31</v>
      </c>
      <c r="C17" s="3" t="s">
        <v>32</v>
      </c>
      <c r="E17" s="5">
        <v>26</v>
      </c>
      <c r="F17" s="5">
        <v>53</v>
      </c>
      <c r="G17" t="s">
        <v>48</v>
      </c>
      <c r="H17" s="7">
        <v>34.698138588561001</v>
      </c>
      <c r="I17" s="7">
        <v>135.49910428211001</v>
      </c>
      <c r="L17" t="s">
        <v>66</v>
      </c>
      <c r="M17" s="7">
        <v>34.742521036976001</v>
      </c>
      <c r="N17" s="7">
        <v>135.36329194759</v>
      </c>
      <c r="O17" s="9">
        <v>1</v>
      </c>
      <c r="P17" s="9">
        <v>1</v>
      </c>
      <c r="Q17" s="9">
        <v>0</v>
      </c>
      <c r="R17" s="9">
        <v>2</v>
      </c>
      <c r="S17" s="9">
        <v>9630</v>
      </c>
      <c r="T17">
        <v>10</v>
      </c>
      <c r="U17" s="9">
        <v>0</v>
      </c>
      <c r="V17" s="9">
        <v>0</v>
      </c>
      <c r="W17" s="9">
        <v>0</v>
      </c>
      <c r="X17" s="9">
        <v>450</v>
      </c>
      <c r="Y17" s="9">
        <v>0</v>
      </c>
      <c r="Z17" s="9">
        <v>0</v>
      </c>
      <c r="AA17" s="9">
        <v>70</v>
      </c>
      <c r="AB17" s="9">
        <v>0</v>
      </c>
      <c r="AC17">
        <v>0</v>
      </c>
      <c r="AD17" t="s">
        <v>67</v>
      </c>
      <c r="AE17">
        <v>0</v>
      </c>
    </row>
    <row r="18" spans="1:31">
      <c r="A18" s="1">
        <v>46003</v>
      </c>
      <c r="B18" s="3" t="s">
        <v>31</v>
      </c>
      <c r="C18" s="3" t="s">
        <v>32</v>
      </c>
      <c r="E18" s="5">
        <v>28</v>
      </c>
      <c r="F18" s="5">
        <v>0</v>
      </c>
      <c r="G18" t="s">
        <v>48</v>
      </c>
      <c r="H18" s="7">
        <v>34.698338815763996</v>
      </c>
      <c r="I18" s="7">
        <v>135.49921346971999</v>
      </c>
      <c r="L18" t="s">
        <v>68</v>
      </c>
      <c r="M18" s="7">
        <v>34.822003431631998</v>
      </c>
      <c r="N18" s="7">
        <v>135.51352744018001</v>
      </c>
      <c r="O18" s="9">
        <v>1</v>
      </c>
      <c r="P18" s="9">
        <v>0</v>
      </c>
      <c r="Q18" s="9">
        <v>0</v>
      </c>
      <c r="R18" s="9">
        <v>1</v>
      </c>
      <c r="S18" s="9">
        <v>8500</v>
      </c>
      <c r="T18">
        <v>10</v>
      </c>
      <c r="U18" s="9">
        <v>8500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>
        <v>0</v>
      </c>
      <c r="AD18" t="s">
        <v>40</v>
      </c>
      <c r="AE18">
        <v>0</v>
      </c>
    </row>
    <row r="19" spans="1:31">
      <c r="A19" s="1">
        <v>46003</v>
      </c>
      <c r="B19" s="3" t="s">
        <v>31</v>
      </c>
      <c r="C19" s="3" t="s">
        <v>32</v>
      </c>
      <c r="E19" s="5">
        <v>28</v>
      </c>
      <c r="F19" s="5">
        <v>46</v>
      </c>
      <c r="G19" t="s">
        <v>69</v>
      </c>
      <c r="H19" s="7">
        <v>34.703758135352999</v>
      </c>
      <c r="I19" s="7">
        <v>135.50237735841</v>
      </c>
      <c r="L19" t="s">
        <v>70</v>
      </c>
      <c r="M19" s="7">
        <v>34.670991557130002</v>
      </c>
      <c r="N19" s="7">
        <v>135.50624016568</v>
      </c>
      <c r="O19" s="9">
        <v>2</v>
      </c>
      <c r="P19" s="9">
        <v>0</v>
      </c>
      <c r="Q19" s="9">
        <v>0</v>
      </c>
      <c r="R19" s="9">
        <v>2</v>
      </c>
      <c r="S19" s="9">
        <v>3200</v>
      </c>
      <c r="T19">
        <v>10</v>
      </c>
      <c r="U19" s="9">
        <v>3200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>
        <v>0</v>
      </c>
      <c r="AD19" t="s">
        <v>46</v>
      </c>
      <c r="AE19">
        <v>0</v>
      </c>
    </row>
    <row r="20" spans="1:31">
      <c r="A20" s="1">
        <v>46003</v>
      </c>
      <c r="B20" s="3" t="s">
        <v>31</v>
      </c>
      <c r="C20" s="3" t="s">
        <v>32</v>
      </c>
      <c r="E20" s="5">
        <v>29</v>
      </c>
      <c r="F20" s="5">
        <v>4</v>
      </c>
      <c r="G20" t="s">
        <v>71</v>
      </c>
      <c r="H20" s="7">
        <v>34.667155683693998</v>
      </c>
      <c r="I20" s="7">
        <v>135.5051894003</v>
      </c>
      <c r="L20" t="s">
        <v>72</v>
      </c>
      <c r="M20" s="7">
        <v>34.651462389418</v>
      </c>
      <c r="N20" s="7">
        <v>135.50032208844999</v>
      </c>
      <c r="O20" s="9">
        <v>0</v>
      </c>
      <c r="P20" s="9">
        <v>1</v>
      </c>
      <c r="Q20" s="9">
        <v>0</v>
      </c>
      <c r="R20" s="9">
        <v>1</v>
      </c>
      <c r="S20" s="9">
        <v>1700</v>
      </c>
      <c r="T20">
        <v>10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>
        <v>0</v>
      </c>
      <c r="AE20">
        <v>0</v>
      </c>
    </row>
    <row r="21" spans="1:31">
      <c r="A21" s="1">
        <v>46003</v>
      </c>
      <c r="B21" s="3" t="s">
        <v>31</v>
      </c>
      <c r="C21" s="3" t="s">
        <v>32</v>
      </c>
      <c r="E21" s="5">
        <v>29</v>
      </c>
      <c r="F21" s="5">
        <v>20</v>
      </c>
      <c r="G21" t="s">
        <v>73</v>
      </c>
      <c r="H21" s="7">
        <v>34.671848621534998</v>
      </c>
      <c r="I21" s="7">
        <v>135.50035577937999</v>
      </c>
      <c r="L21" t="s">
        <v>74</v>
      </c>
      <c r="M21" s="7">
        <v>34.667600733111001</v>
      </c>
      <c r="N21" s="7">
        <v>135.48938785350001</v>
      </c>
      <c r="O21" s="9">
        <v>1</v>
      </c>
      <c r="P21" s="9">
        <v>0</v>
      </c>
      <c r="Q21" s="9">
        <v>0</v>
      </c>
      <c r="R21" s="9">
        <v>1</v>
      </c>
      <c r="S21" s="9">
        <v>900</v>
      </c>
      <c r="T21">
        <v>10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>
        <v>0</v>
      </c>
      <c r="AE21">
        <v>0</v>
      </c>
    </row>
    <row r="22" spans="1:31">
      <c r="A22" s="1">
        <v>46003</v>
      </c>
      <c r="B22" s="3" t="s">
        <v>31</v>
      </c>
      <c r="C22" s="3" t="s">
        <v>32</v>
      </c>
      <c r="E22" s="5">
        <v>29</v>
      </c>
      <c r="F22" s="5">
        <v>26</v>
      </c>
      <c r="G22" t="s">
        <v>75</v>
      </c>
      <c r="H22" s="7">
        <v>34.668199589045997</v>
      </c>
      <c r="I22" s="7">
        <v>135.49310917029999</v>
      </c>
      <c r="L22" t="s">
        <v>76</v>
      </c>
      <c r="M22" s="7">
        <v>34.656317499545999</v>
      </c>
      <c r="N22" s="7">
        <v>135.49793929572999</v>
      </c>
      <c r="O22" s="9">
        <v>1</v>
      </c>
      <c r="P22" s="9">
        <v>0</v>
      </c>
      <c r="Q22" s="9">
        <v>0</v>
      </c>
      <c r="R22" s="9">
        <v>1</v>
      </c>
      <c r="S22" s="9">
        <v>1100</v>
      </c>
      <c r="T22">
        <v>10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>
        <v>0</v>
      </c>
      <c r="AE22">
        <v>0</v>
      </c>
    </row>
    <row r="23" spans="1:31">
      <c r="A23" s="1">
        <v>46003</v>
      </c>
      <c r="B23" s="3" t="s">
        <v>31</v>
      </c>
      <c r="C23" s="3" t="s">
        <v>32</v>
      </c>
      <c r="E23" s="5">
        <v>29</v>
      </c>
      <c r="F23" s="5">
        <v>38</v>
      </c>
      <c r="G23" t="s">
        <v>77</v>
      </c>
      <c r="H23" s="7">
        <v>34.667019276860003</v>
      </c>
      <c r="I23" s="7">
        <v>135.49943291036999</v>
      </c>
      <c r="L23" t="s">
        <v>78</v>
      </c>
      <c r="M23" s="7">
        <v>34.652561702014999</v>
      </c>
      <c r="N23" s="7">
        <v>135.50636440860001</v>
      </c>
      <c r="O23" s="9">
        <v>0</v>
      </c>
      <c r="P23" s="9">
        <v>1</v>
      </c>
      <c r="Q23" s="9">
        <v>0</v>
      </c>
      <c r="R23" s="9">
        <v>1</v>
      </c>
      <c r="S23" s="9">
        <v>1700</v>
      </c>
      <c r="T23">
        <v>10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1</v>
      </c>
      <c r="AC23">
        <v>0</v>
      </c>
      <c r="AE23">
        <v>0</v>
      </c>
    </row>
    <row r="24" spans="1:31">
      <c r="A24" s="1">
        <v>46003</v>
      </c>
      <c r="B24" s="3" t="s">
        <v>31</v>
      </c>
      <c r="C24" s="3" t="s">
        <v>32</v>
      </c>
      <c r="E24" s="5">
        <v>29</v>
      </c>
      <c r="F24" s="5">
        <v>53</v>
      </c>
      <c r="G24" t="s">
        <v>79</v>
      </c>
      <c r="H24" s="7">
        <v>34.668916345082998</v>
      </c>
      <c r="I24" s="7">
        <v>135.50621405724999</v>
      </c>
      <c r="L24" t="s">
        <v>80</v>
      </c>
      <c r="M24" s="7">
        <v>34.654028455293002</v>
      </c>
      <c r="N24" s="7">
        <v>135.49810839278999</v>
      </c>
      <c r="O24" s="9">
        <v>1</v>
      </c>
      <c r="P24" s="9">
        <v>0</v>
      </c>
      <c r="Q24" s="9">
        <v>0</v>
      </c>
      <c r="R24" s="9">
        <v>1</v>
      </c>
      <c r="S24" s="9">
        <v>1500</v>
      </c>
      <c r="T24">
        <v>10</v>
      </c>
      <c r="U24" s="9">
        <v>1500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>
        <v>0</v>
      </c>
      <c r="AD24" t="s">
        <v>46</v>
      </c>
      <c r="AE24">
        <v>0</v>
      </c>
    </row>
    <row r="25" spans="1:31">
      <c r="A25" s="1">
        <v>46003</v>
      </c>
      <c r="B25" s="3" t="s">
        <v>31</v>
      </c>
      <c r="C25" s="3" t="s">
        <v>32</v>
      </c>
      <c r="E25" s="5">
        <v>30</v>
      </c>
      <c r="F25" s="5">
        <v>10</v>
      </c>
      <c r="G25" t="s">
        <v>81</v>
      </c>
      <c r="H25" s="7">
        <v>34.666976481444998</v>
      </c>
      <c r="I25" s="7">
        <v>135.51151110904999</v>
      </c>
      <c r="L25" t="s">
        <v>82</v>
      </c>
      <c r="M25" s="7">
        <v>34.653328352625998</v>
      </c>
      <c r="N25" s="7">
        <v>135.55581053488001</v>
      </c>
      <c r="O25" s="9">
        <v>1</v>
      </c>
      <c r="P25" s="9">
        <v>0</v>
      </c>
      <c r="Q25" s="9">
        <v>0</v>
      </c>
      <c r="R25" s="9">
        <v>1</v>
      </c>
      <c r="S25" s="9">
        <v>2600</v>
      </c>
      <c r="T25">
        <v>10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2</v>
      </c>
      <c r="AC25">
        <v>0</v>
      </c>
      <c r="AE25">
        <v>0</v>
      </c>
    </row>
    <row r="26" spans="1:31">
      <c r="A26" s="11">
        <f>SUBTOTAL(2, A2:A25)</f>
        <v>24</v>
      </c>
      <c r="B26" s="12"/>
      <c r="C26" s="12"/>
      <c r="D26" s="12"/>
      <c r="E26" s="13"/>
      <c r="F26" s="13"/>
      <c r="G26" s="14"/>
      <c r="H26" s="15"/>
      <c r="I26" s="15"/>
      <c r="J26" s="13"/>
      <c r="K26" s="13"/>
      <c r="L26" s="14"/>
      <c r="M26" s="15"/>
      <c r="N26" s="15"/>
      <c r="O26" s="11">
        <f>SUBTOTAL(9, O2:O25)</f>
        <v>23</v>
      </c>
      <c r="P26" s="11">
        <f>SUBTOTAL(9, P2:P25)</f>
        <v>11</v>
      </c>
      <c r="Q26" s="11">
        <f>SUBTOTAL(9, Q2:Q25)</f>
        <v>0</v>
      </c>
      <c r="R26" s="11">
        <f>SUBTOTAL(9, R2:R25)</f>
        <v>34</v>
      </c>
      <c r="S26" s="11">
        <f>SUBTOTAL(9, S2:S25)</f>
        <v>80590</v>
      </c>
      <c r="T26" s="14"/>
      <c r="U26" s="11">
        <f t="shared" ref="U26:AA26" si="0">SUBTOTAL(9, U2:U25)</f>
        <v>37699</v>
      </c>
      <c r="V26" s="11">
        <f t="shared" si="0"/>
        <v>0</v>
      </c>
      <c r="W26" s="11">
        <f t="shared" si="0"/>
        <v>0</v>
      </c>
      <c r="X26" s="11">
        <f t="shared" si="0"/>
        <v>1900</v>
      </c>
      <c r="Y26" s="11">
        <f t="shared" si="0"/>
        <v>0</v>
      </c>
      <c r="Z26" s="11">
        <f t="shared" si="0"/>
        <v>0</v>
      </c>
      <c r="AA26" s="11">
        <f t="shared" si="0"/>
        <v>310</v>
      </c>
      <c r="AB26" s="11">
        <f>SUBTOTAL(1, AB2:AB25)</f>
        <v>7.583333333333333</v>
      </c>
      <c r="AC26" s="14"/>
      <c r="AD26" s="14"/>
      <c r="AE26" s="14"/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まき(2025-12-12)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とっぽ☆</cp:lastModifiedBy>
  <dcterms:created xsi:type="dcterms:W3CDTF">2025-12-14T20:47:54Z</dcterms:created>
  <dcterms:modified xsi:type="dcterms:W3CDTF">2025-12-14T20:50:02Z</dcterms:modified>
</cp:coreProperties>
</file>